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attsburgh0-my.sharepoint.com/personal/kkhad001_plattsburgh_edu/Documents/"/>
    </mc:Choice>
  </mc:AlternateContent>
  <xr:revisionPtr revIDLastSave="0" documentId="8_{F916913B-9132-CB46-8AF7-D5A044C1EE67}" xr6:coauthVersionLast="47" xr6:coauthVersionMax="47" xr10:uidLastSave="{00000000-0000-0000-0000-000000000000}"/>
  <bookViews>
    <workbookView xWindow="13980" yWindow="780" windowWidth="15420" windowHeight="16880" activeTab="3" xr2:uid="{970DFE72-A424-0347-96B7-FB1EA55E3314}"/>
  </bookViews>
  <sheets>
    <sheet name="RAW" sheetId="1" r:id="rId1"/>
    <sheet name="HISTOGRAM" sheetId="2" r:id="rId2"/>
    <sheet name="ARMEASURES" sheetId="3" r:id="rId3"/>
    <sheet name="SCATTER" sheetId="4" r:id="rId4"/>
    <sheet name="PIVOT TABLE" sheetId="5" r:id="rId5"/>
    <sheet name="sheet 1" sheetId="6" r:id="rId6"/>
  </sheets>
  <definedNames>
    <definedName name="_xlchart.v1.0" hidden="1">RAW!$D$7:$D$30</definedName>
    <definedName name="_xlchart.v1.1" hidden="1">RAW!$E$7:$E$30</definedName>
    <definedName name="_xlchart.v1.2" hidden="1">RAW!$E$7:$E$30</definedName>
    <definedName name="_xlchart.v1.3" hidden="1">RAW!$C$7:$C$30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  <c r="C5" i="5"/>
  <c r="B5" i="5"/>
  <c r="D4" i="5"/>
  <c r="C4" i="5"/>
  <c r="B4" i="5"/>
  <c r="D3" i="5"/>
  <c r="C3" i="5"/>
  <c r="B3" i="5"/>
  <c r="B2" i="5"/>
  <c r="C2" i="5"/>
  <c r="D2" i="5"/>
  <c r="L20" i="4"/>
  <c r="E20" i="4"/>
  <c r="C8" i="3"/>
  <c r="D8" i="3"/>
  <c r="C7" i="3"/>
  <c r="D7" i="3"/>
  <c r="C6" i="3"/>
  <c r="D6" i="3"/>
  <c r="C5" i="3"/>
  <c r="D5" i="3"/>
  <c r="C4" i="3"/>
  <c r="D4" i="3"/>
  <c r="C3" i="3"/>
  <c r="D3" i="3"/>
  <c r="C2" i="3"/>
  <c r="D2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<sst xmlns="http://schemas.openxmlformats.org/spreadsheetml/2006/main" count="56" uniqueCount="31">
  <si>
    <t xml:space="preserve">How digitalization affects Consumer Behavior(Excel Data Analysis) </t>
  </si>
  <si>
    <t>Country</t>
  </si>
  <si>
    <t>Year</t>
  </si>
  <si>
    <t>Internet Users(%)</t>
  </si>
  <si>
    <t>Social Media Users(%)</t>
  </si>
  <si>
    <t>E-commerce Sales(%)</t>
  </si>
  <si>
    <t>USA</t>
  </si>
  <si>
    <t>Years: 2018 through 2023</t>
  </si>
  <si>
    <t>Germany</t>
  </si>
  <si>
    <t>China</t>
  </si>
  <si>
    <t>Russia</t>
  </si>
  <si>
    <t>Column1</t>
  </si>
  <si>
    <t>Column2</t>
  </si>
  <si>
    <t>Column3</t>
  </si>
  <si>
    <t>Column4</t>
  </si>
  <si>
    <t>Variables: Internet Users(%), Social Media Users(%),E-commerce sales(% of Retail)</t>
  </si>
  <si>
    <t>Countries Studied: USA, Germany, Nepal, South Africa</t>
  </si>
  <si>
    <t>Measure</t>
  </si>
  <si>
    <t>Internet Users</t>
  </si>
  <si>
    <t>Social Media Users</t>
  </si>
  <si>
    <t>E-commerce sales</t>
  </si>
  <si>
    <t>Mean</t>
  </si>
  <si>
    <t>Median</t>
  </si>
  <si>
    <t>Std Dev</t>
  </si>
  <si>
    <t>Minimun</t>
  </si>
  <si>
    <t>Maximum</t>
  </si>
  <si>
    <t>Range</t>
  </si>
  <si>
    <t>Count</t>
  </si>
  <si>
    <t>Avg Internet Users</t>
  </si>
  <si>
    <t>Avg Social Media</t>
  </si>
  <si>
    <t>Avg E-commerce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</si>
</sst>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/>
      <right/>
      <top style="medium">
        <color theme="0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2" borderId="0" xfId="1" applyBorder="1" applyAlignment="1">
      <alignment horizontal="center"/>
    </xf>
    <xf numFmtId="0" fontId="1" fillId="2" borderId="1" xfId="1" applyBorder="1" applyAlignment="1">
      <alignment horizontal="center"/>
    </xf>
    <xf numFmtId="0" fontId="1" fillId="2" borderId="0" xfId="1" applyAlignment="1">
      <alignment horizontal="center"/>
    </xf>
    <xf numFmtId="0" fontId="1" fillId="2" borderId="0" xfId="1"/>
    <xf numFmtId="0" fontId="0" fillId="4" borderId="2" xfId="0" applyFont="1" applyFill="1" applyBorder="1"/>
    <xf numFmtId="0" fontId="0" fillId="0" borderId="3" xfId="0" applyFont="1" applyBorder="1"/>
    <xf numFmtId="0" fontId="0" fillId="4" borderId="3" xfId="0" applyFont="1" applyFill="1" applyBorder="1"/>
    <xf numFmtId="0" fontId="2" fillId="3" borderId="0" xfId="0" applyFont="1" applyFill="1" applyBorder="1"/>
    <xf numFmtId="0" fontId="3" fillId="0" borderId="0" xfId="0" applyFont="1"/>
  </cellXfs>
  <cellStyles count="2">
    <cellStyle name="20% - Accent1" xfId="1" builtinId="30"/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Internet</a:t>
            </a:r>
            <a:r>
              <a:rPr lang="en-US" baseline="0"/>
              <a:t> Users VS Social Media Users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RAW!$C$7:$C$30</c:f>
              <c:numCache>
                <c:formatCode>General</c:formatCode>
                <c:ptCount val="24"/>
                <c:pt idx="0">
                  <c:v>89</c:v>
                </c:pt>
                <c:pt idx="1">
                  <c:v>90</c:v>
                </c:pt>
                <c:pt idx="2">
                  <c:v>91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87</c:v>
                </c:pt>
                <c:pt idx="7">
                  <c:v>88</c:v>
                </c:pt>
                <c:pt idx="8">
                  <c:v>90</c:v>
                </c:pt>
                <c:pt idx="9">
                  <c:v>91</c:v>
                </c:pt>
                <c:pt idx="10">
                  <c:v>92</c:v>
                </c:pt>
                <c:pt idx="11">
                  <c:v>93</c:v>
                </c:pt>
                <c:pt idx="12">
                  <c:v>80</c:v>
                </c:pt>
                <c:pt idx="13">
                  <c:v>82</c:v>
                </c:pt>
                <c:pt idx="14">
                  <c:v>85</c:v>
                </c:pt>
                <c:pt idx="15">
                  <c:v>86</c:v>
                </c:pt>
                <c:pt idx="16">
                  <c:v>87</c:v>
                </c:pt>
                <c:pt idx="17">
                  <c:v>88</c:v>
                </c:pt>
                <c:pt idx="18">
                  <c:v>59</c:v>
                </c:pt>
                <c:pt idx="19">
                  <c:v>65</c:v>
                </c:pt>
                <c:pt idx="20">
                  <c:v>71</c:v>
                </c:pt>
                <c:pt idx="21">
                  <c:v>73</c:v>
                </c:pt>
                <c:pt idx="22">
                  <c:v>76</c:v>
                </c:pt>
                <c:pt idx="23">
                  <c:v>78</c:v>
                </c:pt>
              </c:numCache>
            </c:numRef>
          </c:xVal>
          <c:yVal>
            <c:numRef>
              <c:f>RAW!$D$7:$D$30</c:f>
              <c:numCache>
                <c:formatCode>General</c:formatCode>
                <c:ptCount val="24"/>
                <c:pt idx="0">
                  <c:v>70</c:v>
                </c:pt>
                <c:pt idx="1">
                  <c:v>72</c:v>
                </c:pt>
                <c:pt idx="2">
                  <c:v>75</c:v>
                </c:pt>
                <c:pt idx="3">
                  <c:v>78</c:v>
                </c:pt>
                <c:pt idx="4">
                  <c:v>80</c:v>
                </c:pt>
                <c:pt idx="5">
                  <c:v>82</c:v>
                </c:pt>
                <c:pt idx="6">
                  <c:v>65</c:v>
                </c:pt>
                <c:pt idx="7">
                  <c:v>67</c:v>
                </c:pt>
                <c:pt idx="8">
                  <c:v>70</c:v>
                </c:pt>
                <c:pt idx="9">
                  <c:v>72</c:v>
                </c:pt>
                <c:pt idx="10">
                  <c:v>74</c:v>
                </c:pt>
                <c:pt idx="11">
                  <c:v>76</c:v>
                </c:pt>
                <c:pt idx="12">
                  <c:v>55</c:v>
                </c:pt>
                <c:pt idx="13">
                  <c:v>57</c:v>
                </c:pt>
                <c:pt idx="14">
                  <c:v>60</c:v>
                </c:pt>
                <c:pt idx="15">
                  <c:v>62</c:v>
                </c:pt>
                <c:pt idx="16">
                  <c:v>64</c:v>
                </c:pt>
                <c:pt idx="17">
                  <c:v>66</c:v>
                </c:pt>
                <c:pt idx="18">
                  <c:v>45</c:v>
                </c:pt>
                <c:pt idx="19">
                  <c:v>50</c:v>
                </c:pt>
                <c:pt idx="20">
                  <c:v>55</c:v>
                </c:pt>
                <c:pt idx="21">
                  <c:v>58</c:v>
                </c:pt>
                <c:pt idx="22">
                  <c:v>61</c:v>
                </c:pt>
                <c:pt idx="23">
                  <c:v>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E2-4244-BC94-3200918C7F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9440751"/>
        <c:axId val="984708287"/>
      </c:scatterChart>
      <c:valAx>
        <c:axId val="95944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708287"/>
        <c:crosses val="autoZero"/>
        <c:crossBetween val="midCat"/>
      </c:valAx>
      <c:valAx>
        <c:axId val="98470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44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Internet Users VS E-commerce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RAW!$C$7:$C$30</c:f>
              <c:numCache>
                <c:formatCode>General</c:formatCode>
                <c:ptCount val="24"/>
                <c:pt idx="0">
                  <c:v>89</c:v>
                </c:pt>
                <c:pt idx="1">
                  <c:v>90</c:v>
                </c:pt>
                <c:pt idx="2">
                  <c:v>91</c:v>
                </c:pt>
                <c:pt idx="3">
                  <c:v>93</c:v>
                </c:pt>
                <c:pt idx="4">
                  <c:v>94</c:v>
                </c:pt>
                <c:pt idx="5">
                  <c:v>95</c:v>
                </c:pt>
                <c:pt idx="6">
                  <c:v>87</c:v>
                </c:pt>
                <c:pt idx="7">
                  <c:v>88</c:v>
                </c:pt>
                <c:pt idx="8">
                  <c:v>90</c:v>
                </c:pt>
                <c:pt idx="9">
                  <c:v>91</c:v>
                </c:pt>
                <c:pt idx="10">
                  <c:v>92</c:v>
                </c:pt>
                <c:pt idx="11">
                  <c:v>93</c:v>
                </c:pt>
                <c:pt idx="12">
                  <c:v>80</c:v>
                </c:pt>
                <c:pt idx="13">
                  <c:v>82</c:v>
                </c:pt>
                <c:pt idx="14">
                  <c:v>85</c:v>
                </c:pt>
                <c:pt idx="15">
                  <c:v>86</c:v>
                </c:pt>
                <c:pt idx="16">
                  <c:v>87</c:v>
                </c:pt>
                <c:pt idx="17">
                  <c:v>88</c:v>
                </c:pt>
                <c:pt idx="18">
                  <c:v>59</c:v>
                </c:pt>
                <c:pt idx="19">
                  <c:v>65</c:v>
                </c:pt>
                <c:pt idx="20">
                  <c:v>71</c:v>
                </c:pt>
                <c:pt idx="21">
                  <c:v>73</c:v>
                </c:pt>
                <c:pt idx="22">
                  <c:v>76</c:v>
                </c:pt>
                <c:pt idx="23">
                  <c:v>78</c:v>
                </c:pt>
              </c:numCache>
            </c:numRef>
          </c:xVal>
          <c:yVal>
            <c:numRef>
              <c:f>RAW!$E$7:$E$30</c:f>
              <c:numCache>
                <c:formatCode>General</c:formatCode>
                <c:ptCount val="24"/>
                <c:pt idx="0">
                  <c:v>9</c:v>
                </c:pt>
                <c:pt idx="1">
                  <c:v>10.5</c:v>
                </c:pt>
                <c:pt idx="2">
                  <c:v>12</c:v>
                </c:pt>
                <c:pt idx="3">
                  <c:v>13.5</c:v>
                </c:pt>
                <c:pt idx="4">
                  <c:v>14.5</c:v>
                </c:pt>
                <c:pt idx="5">
                  <c:v>15.5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10.8</c:v>
                </c:pt>
                <c:pt idx="11">
                  <c:v>11.2</c:v>
                </c:pt>
                <c:pt idx="12">
                  <c:v>7</c:v>
                </c:pt>
                <c:pt idx="13">
                  <c:v>8.5</c:v>
                </c:pt>
                <c:pt idx="14">
                  <c:v>9.8000000000000007</c:v>
                </c:pt>
                <c:pt idx="15">
                  <c:v>11</c:v>
                </c:pt>
                <c:pt idx="16">
                  <c:v>12.2</c:v>
                </c:pt>
                <c:pt idx="17">
                  <c:v>13</c:v>
                </c:pt>
                <c:pt idx="18">
                  <c:v>25</c:v>
                </c:pt>
                <c:pt idx="19">
                  <c:v>30</c:v>
                </c:pt>
                <c:pt idx="20">
                  <c:v>35</c:v>
                </c:pt>
                <c:pt idx="21">
                  <c:v>39</c:v>
                </c:pt>
                <c:pt idx="22">
                  <c:v>43</c:v>
                </c:pt>
                <c:pt idx="23">
                  <c:v>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53-D94A-9BD2-44936409F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208704"/>
        <c:axId val="903668895"/>
      </c:scatterChart>
      <c:valAx>
        <c:axId val="40720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668895"/>
        <c:crosses val="autoZero"/>
        <c:crossBetween val="midCat"/>
      </c:valAx>
      <c:valAx>
        <c:axId val="90366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20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SOCIAL MEDIA USERS(%)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SOCIAL MEDIA USERS(%)</a:t>
          </a:r>
        </a:p>
      </cx:txPr>
    </cx:title>
    <cx:plotArea>
      <cx:plotAreaRegion>
        <cx:series layoutId="clusteredColumn" uniqueId="{14C5D79A-2A8A-3B49-BF24-8149B2A0825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INTERNET USERS(%)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INTERNET USERS(%)</a:t>
          </a:r>
        </a:p>
      </cx:txPr>
    </cx:title>
    <cx:plotArea>
      <cx:plotAreaRegion>
        <cx:series layoutId="clusteredColumn" uniqueId="{BF66DAE8-EEDE-1747-91DC-A33E992AF551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E-COMMERCE SALES(%)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E-COMMERCE SALES(%)</a:t>
          </a:r>
        </a:p>
      </cx:txPr>
    </cx:title>
    <cx:plotArea>
      <cx:plotAreaRegion>
        <cx:series layoutId="clusteredColumn" uniqueId="{AA6A6D96-A8E8-F145-8EFB-DA024046F6F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158750</xdr:colOff>
      <xdr:row>16</xdr:row>
      <xdr:rowOff>171450</xdr:rowOff>
    </xdr:from>
    <xdr:to>
      <xdr:col>8</xdr:col>
      <xdr:colOff>603250</xdr:colOff>
      <xdr:row>30</xdr:row>
      <xdr:rowOff>69850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4">
              <a:extLst>
                <a:ext uri="{FF2B5EF4-FFF2-40B4-BE49-F238E27FC236}">
                  <a16:creationId xmlns:a16="http://schemas.microsoft.com/office/drawing/2014/main" id="{7F265D06-898D-F32E-D627-A218B8D391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5250" y="3422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495300</xdr:colOff>
      <xdr:row>2</xdr:row>
      <xdr:rowOff>88900</xdr:rowOff>
    </xdr:from>
    <xdr:to>
      <xdr:col>6</xdr:col>
      <xdr:colOff>114300</xdr:colOff>
      <xdr:row>15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5">
              <a:extLst>
                <a:ext uri="{FF2B5EF4-FFF2-40B4-BE49-F238E27FC236}">
                  <a16:creationId xmlns:a16="http://schemas.microsoft.com/office/drawing/2014/main" id="{063581FC-C10C-120A-B2B6-78DE2E1BEC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" y="495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800100</xdr:colOff>
      <xdr:row>19</xdr:row>
      <xdr:rowOff>165100</xdr:rowOff>
    </xdr:from>
    <xdr:to>
      <xdr:col>14</xdr:col>
      <xdr:colOff>419100</xdr:colOff>
      <xdr:row>33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6">
              <a:extLst>
                <a:ext uri="{FF2B5EF4-FFF2-40B4-BE49-F238E27FC236}">
                  <a16:creationId xmlns:a16="http://schemas.microsoft.com/office/drawing/2014/main" id="{0141D154-1062-6AB7-CC35-5FCC1B4BCA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04100" y="4025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4</xdr:row>
      <xdr:rowOff>0</xdr:rowOff>
    </xdr:from>
    <xdr:to>
      <xdr:col>7</xdr:col>
      <xdr:colOff>679450</xdr:colOff>
      <xdr:row>17</xdr:row>
      <xdr:rowOff>101600</xdr:rowOff>
    </xdr:to>
    <xdr:graphicFrame macro="">
      <xdr:nvGraphicFramePr>
        <xdr:cNvPr id="4" name="Chart 9">
          <a:extLst>
            <a:ext uri="{FF2B5EF4-FFF2-40B4-BE49-F238E27FC236}">
              <a16:creationId xmlns:a16="http://schemas.microsoft.com/office/drawing/2014/main" id="{57F6FCB2-07C3-AD27-44AF-A65066076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12700</xdr:colOff>
      <xdr:row>4</xdr:row>
      <xdr:rowOff>12700</xdr:rowOff>
    </xdr:from>
    <xdr:to>
      <xdr:col>14</xdr:col>
      <xdr:colOff>457200</xdr:colOff>
      <xdr:row>17</xdr:row>
      <xdr:rowOff>114300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47B614A4-D551-FCBA-7E90-6132E9D8CD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AAAFABE-E526-0D48-A486-4E331362B391}" name="Table4" displayName="Table4" ref="A6:E30" totalsRowShown="0" headerRowDxfId="0" dataDxfId="1" tableBorderDxfId="7">
  <autoFilter ref="A6:E30" xr:uid="{3AAAFABE-E526-0D48-A486-4E331362B391}"/>
  <tableColumns count="5">
    <tableColumn id="1" xr3:uid="{098C398A-C308-424B-A779-865CA74CE7B4}" name="Country" dataDxfId="6"/>
    <tableColumn id="2" xr3:uid="{F8F11A4B-AF23-664C-B45D-3D0ABBED7143}" name="Year" dataDxfId="5"/>
    <tableColumn id="3" xr3:uid="{76FD58A4-D4B4-E442-9AA9-5B93E0088B91}" name="Internet Users(%)" dataDxfId="4"/>
    <tableColumn id="4" xr3:uid="{B08F61F3-4F7D-674A-80F5-70FA1CE8A033}" name="Social Media Users(%)" dataDxfId="3"/>
    <tableColumn id="5" xr3:uid="{CE033E17-B671-FB40-B46D-D3EAE2DECB78}" name="E-commerce Sales(%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30B1-BCBB-3B44-BA10-86B0BCC86552}">
  <dimension ref="A1:G30"/>
  <sheetViews>
    <sheetView workbookViewId="0">
      <selection activeCell="G17" sqref="G17"/>
    </sheetView>
  </sheetViews>
  <sheetFormatPr baseColWidth="10" defaultRowHeight="16" x14ac:dyDescent="0.2"/>
  <cols>
    <col min="1" max="1" width="58.6640625" customWidth="1"/>
    <col min="2" max="2" width="11" customWidth="1"/>
    <col min="3" max="3" width="18" customWidth="1"/>
    <col min="4" max="5" width="21.83203125" customWidth="1"/>
  </cols>
  <sheetData>
    <row r="1" spans="1:7" ht="17" thickBot="1" x14ac:dyDescent="0.25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</row>
    <row r="2" spans="1:7" ht="17" customHeight="1" x14ac:dyDescent="0.2">
      <c r="A2" s="3" t="s">
        <v>15</v>
      </c>
      <c r="B2" s="3"/>
      <c r="C2" s="3"/>
      <c r="D2" s="3"/>
      <c r="E2" s="3"/>
      <c r="F2" s="1"/>
      <c r="G2" s="1"/>
    </row>
    <row r="3" spans="1:7" x14ac:dyDescent="0.2">
      <c r="A3" s="4" t="s">
        <v>16</v>
      </c>
      <c r="B3" s="4"/>
      <c r="C3" s="4"/>
      <c r="D3" s="4"/>
      <c r="E3" s="4"/>
    </row>
    <row r="4" spans="1:7" x14ac:dyDescent="0.2">
      <c r="A4" s="4" t="s">
        <v>7</v>
      </c>
      <c r="B4" s="4"/>
      <c r="C4" s="4"/>
      <c r="D4" s="4"/>
      <c r="E4" s="4"/>
    </row>
    <row r="5" spans="1:7" x14ac:dyDescent="0.2">
      <c r="A5" s="5"/>
      <c r="B5" s="5"/>
      <c r="C5" s="5"/>
      <c r="D5" s="5"/>
      <c r="E5" s="5"/>
    </row>
    <row r="6" spans="1:7" x14ac:dyDescent="0.2">
      <c r="A6" s="9" t="s">
        <v>1</v>
      </c>
      <c r="B6" s="9" t="s">
        <v>2</v>
      </c>
      <c r="C6" s="9" t="s">
        <v>3</v>
      </c>
      <c r="D6" s="9" t="s">
        <v>4</v>
      </c>
      <c r="E6" s="9" t="s">
        <v>5</v>
      </c>
    </row>
    <row r="7" spans="1:7" x14ac:dyDescent="0.2">
      <c r="A7" s="6" t="s">
        <v>6</v>
      </c>
      <c r="B7" s="6">
        <v>2018</v>
      </c>
      <c r="C7" s="6">
        <v>89</v>
      </c>
      <c r="D7" s="6">
        <v>70</v>
      </c>
      <c r="E7" s="6">
        <v>9</v>
      </c>
    </row>
    <row r="8" spans="1:7" x14ac:dyDescent="0.2">
      <c r="A8" s="7" t="s">
        <v>6</v>
      </c>
      <c r="B8" s="7">
        <v>2019</v>
      </c>
      <c r="C8" s="7">
        <v>90</v>
      </c>
      <c r="D8" s="7">
        <v>72</v>
      </c>
      <c r="E8" s="7">
        <v>10.5</v>
      </c>
    </row>
    <row r="9" spans="1:7" x14ac:dyDescent="0.2">
      <c r="A9" s="8" t="s">
        <v>6</v>
      </c>
      <c r="B9" s="8">
        <v>2020</v>
      </c>
      <c r="C9" s="8">
        <v>91</v>
      </c>
      <c r="D9" s="8">
        <v>75</v>
      </c>
      <c r="E9" s="8">
        <v>12</v>
      </c>
    </row>
    <row r="10" spans="1:7" x14ac:dyDescent="0.2">
      <c r="A10" s="7" t="s">
        <v>6</v>
      </c>
      <c r="B10" s="7">
        <v>2021</v>
      </c>
      <c r="C10" s="7">
        <v>93</v>
      </c>
      <c r="D10" s="7">
        <v>78</v>
      </c>
      <c r="E10" s="7">
        <v>13.5</v>
      </c>
    </row>
    <row r="11" spans="1:7" x14ac:dyDescent="0.2">
      <c r="A11" s="8" t="s">
        <v>6</v>
      </c>
      <c r="B11" s="8">
        <v>2022</v>
      </c>
      <c r="C11" s="8">
        <v>94</v>
      </c>
      <c r="D11" s="8">
        <v>80</v>
      </c>
      <c r="E11" s="8">
        <v>14.5</v>
      </c>
    </row>
    <row r="12" spans="1:7" x14ac:dyDescent="0.2">
      <c r="A12" s="7" t="s">
        <v>6</v>
      </c>
      <c r="B12" s="7">
        <v>2023</v>
      </c>
      <c r="C12" s="7">
        <v>95</v>
      </c>
      <c r="D12" s="7">
        <v>82</v>
      </c>
      <c r="E12" s="7">
        <v>15.5</v>
      </c>
    </row>
    <row r="13" spans="1:7" x14ac:dyDescent="0.2">
      <c r="A13" s="8" t="s">
        <v>8</v>
      </c>
      <c r="B13" s="8">
        <v>2018</v>
      </c>
      <c r="C13" s="8">
        <v>87</v>
      </c>
      <c r="D13" s="8">
        <v>65</v>
      </c>
      <c r="E13" s="8">
        <v>7</v>
      </c>
    </row>
    <row r="14" spans="1:7" x14ac:dyDescent="0.2">
      <c r="A14" s="7" t="s">
        <v>8</v>
      </c>
      <c r="B14" s="7">
        <v>2019</v>
      </c>
      <c r="C14" s="7">
        <v>88</v>
      </c>
      <c r="D14" s="7">
        <v>67</v>
      </c>
      <c r="E14" s="7">
        <v>8</v>
      </c>
    </row>
    <row r="15" spans="1:7" x14ac:dyDescent="0.2">
      <c r="A15" s="8" t="s">
        <v>8</v>
      </c>
      <c r="B15" s="8">
        <v>2020</v>
      </c>
      <c r="C15" s="8">
        <v>90</v>
      </c>
      <c r="D15" s="8">
        <v>70</v>
      </c>
      <c r="E15" s="8">
        <v>9</v>
      </c>
    </row>
    <row r="16" spans="1:7" x14ac:dyDescent="0.2">
      <c r="A16" s="7" t="s">
        <v>8</v>
      </c>
      <c r="B16" s="7">
        <v>2021</v>
      </c>
      <c r="C16" s="7">
        <v>91</v>
      </c>
      <c r="D16" s="7">
        <v>72</v>
      </c>
      <c r="E16" s="7">
        <v>10</v>
      </c>
    </row>
    <row r="17" spans="1:5" x14ac:dyDescent="0.2">
      <c r="A17" s="8" t="s">
        <v>8</v>
      </c>
      <c r="B17" s="8">
        <v>2022</v>
      </c>
      <c r="C17" s="8">
        <v>92</v>
      </c>
      <c r="D17" s="8">
        <v>74</v>
      </c>
      <c r="E17" s="8">
        <v>10.8</v>
      </c>
    </row>
    <row r="18" spans="1:5" x14ac:dyDescent="0.2">
      <c r="A18" s="7" t="s">
        <v>8</v>
      </c>
      <c r="B18" s="7">
        <v>2023</v>
      </c>
      <c r="C18" s="7">
        <v>93</v>
      </c>
      <c r="D18" s="7">
        <v>76</v>
      </c>
      <c r="E18" s="7">
        <v>11.2</v>
      </c>
    </row>
    <row r="19" spans="1:5" x14ac:dyDescent="0.2">
      <c r="A19" s="8" t="s">
        <v>10</v>
      </c>
      <c r="B19" s="8">
        <v>2018</v>
      </c>
      <c r="C19" s="8">
        <v>80</v>
      </c>
      <c r="D19" s="8">
        <v>55</v>
      </c>
      <c r="E19" s="8">
        <v>7</v>
      </c>
    </row>
    <row r="20" spans="1:5" x14ac:dyDescent="0.2">
      <c r="A20" s="7" t="s">
        <v>10</v>
      </c>
      <c r="B20" s="7">
        <v>2019</v>
      </c>
      <c r="C20" s="7">
        <v>82</v>
      </c>
      <c r="D20" s="7">
        <v>57</v>
      </c>
      <c r="E20" s="7">
        <v>8.5</v>
      </c>
    </row>
    <row r="21" spans="1:5" x14ac:dyDescent="0.2">
      <c r="A21" s="8" t="s">
        <v>10</v>
      </c>
      <c r="B21" s="8">
        <v>2020</v>
      </c>
      <c r="C21" s="8">
        <v>85</v>
      </c>
      <c r="D21" s="8">
        <v>60</v>
      </c>
      <c r="E21" s="8">
        <v>9.8000000000000007</v>
      </c>
    </row>
    <row r="22" spans="1:5" x14ac:dyDescent="0.2">
      <c r="A22" s="7" t="s">
        <v>10</v>
      </c>
      <c r="B22" s="7">
        <v>2021</v>
      </c>
      <c r="C22" s="7">
        <v>86</v>
      </c>
      <c r="D22" s="7">
        <v>62</v>
      </c>
      <c r="E22" s="7">
        <v>11</v>
      </c>
    </row>
    <row r="23" spans="1:5" x14ac:dyDescent="0.2">
      <c r="A23" s="8" t="s">
        <v>10</v>
      </c>
      <c r="B23" s="8">
        <v>2022</v>
      </c>
      <c r="C23" s="8">
        <v>87</v>
      </c>
      <c r="D23" s="8">
        <v>64</v>
      </c>
      <c r="E23" s="8">
        <v>12.2</v>
      </c>
    </row>
    <row r="24" spans="1:5" x14ac:dyDescent="0.2">
      <c r="A24" s="7" t="s">
        <v>10</v>
      </c>
      <c r="B24" s="7">
        <v>2023</v>
      </c>
      <c r="C24" s="7">
        <v>88</v>
      </c>
      <c r="D24" s="7">
        <v>66</v>
      </c>
      <c r="E24" s="7">
        <v>13</v>
      </c>
    </row>
    <row r="25" spans="1:5" x14ac:dyDescent="0.2">
      <c r="A25" s="8" t="s">
        <v>9</v>
      </c>
      <c r="B25" s="8">
        <v>2018</v>
      </c>
      <c r="C25" s="8">
        <v>59</v>
      </c>
      <c r="D25" s="8">
        <v>45</v>
      </c>
      <c r="E25" s="8">
        <v>25</v>
      </c>
    </row>
    <row r="26" spans="1:5" x14ac:dyDescent="0.2">
      <c r="A26" s="7" t="s">
        <v>9</v>
      </c>
      <c r="B26" s="7">
        <v>2019</v>
      </c>
      <c r="C26" s="7">
        <v>65</v>
      </c>
      <c r="D26" s="7">
        <v>50</v>
      </c>
      <c r="E26" s="7">
        <v>30</v>
      </c>
    </row>
    <row r="27" spans="1:5" x14ac:dyDescent="0.2">
      <c r="A27" s="8" t="s">
        <v>9</v>
      </c>
      <c r="B27" s="8">
        <v>2020</v>
      </c>
      <c r="C27" s="8">
        <v>71</v>
      </c>
      <c r="D27" s="8">
        <v>55</v>
      </c>
      <c r="E27" s="8">
        <v>35</v>
      </c>
    </row>
    <row r="28" spans="1:5" x14ac:dyDescent="0.2">
      <c r="A28" s="7" t="s">
        <v>9</v>
      </c>
      <c r="B28" s="7">
        <v>2021</v>
      </c>
      <c r="C28" s="7">
        <v>73</v>
      </c>
      <c r="D28" s="7">
        <v>58</v>
      </c>
      <c r="E28" s="7">
        <v>39</v>
      </c>
    </row>
    <row r="29" spans="1:5" x14ac:dyDescent="0.2">
      <c r="A29" s="8" t="s">
        <v>9</v>
      </c>
      <c r="B29" s="8">
        <v>2022</v>
      </c>
      <c r="C29" s="8">
        <v>76</v>
      </c>
      <c r="D29" s="8">
        <v>61</v>
      </c>
      <c r="E29" s="8">
        <v>43</v>
      </c>
    </row>
    <row r="30" spans="1:5" x14ac:dyDescent="0.2">
      <c r="A30" s="7" t="s">
        <v>9</v>
      </c>
      <c r="B30" s="7">
        <v>2023</v>
      </c>
      <c r="C30" s="7">
        <v>78</v>
      </c>
      <c r="D30" s="7">
        <v>64</v>
      </c>
      <c r="E30" s="7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A9E1-FB70-1944-BA4F-9144AA2703AD}">
  <dimension ref="A1"/>
  <sheetViews>
    <sheetView topLeftCell="B2" workbookViewId="0">
      <selection activeCell="I11" sqref="I1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202BD-F16C-FB4B-BEEC-78A61B7C4A6D}">
  <dimension ref="A1:D8"/>
  <sheetViews>
    <sheetView workbookViewId="0">
      <selection activeCell="C7" sqref="C7"/>
    </sheetView>
  </sheetViews>
  <sheetFormatPr baseColWidth="10" defaultRowHeight="16" x14ac:dyDescent="0.2"/>
  <cols>
    <col min="2" max="2" width="12.5" bestFit="1" customWidth="1"/>
    <col min="3" max="3" width="16.5" bestFit="1" customWidth="1"/>
    <col min="4" max="4" width="16" bestFit="1" customWidth="1"/>
  </cols>
  <sheetData>
    <row r="1" spans="1:4" x14ac:dyDescent="0.2">
      <c r="A1" t="s">
        <v>17</v>
      </c>
      <c r="B1" t="s">
        <v>18</v>
      </c>
      <c r="C1" t="s">
        <v>19</v>
      </c>
      <c r="D1" t="s">
        <v>20</v>
      </c>
    </row>
    <row r="2" spans="1:4" x14ac:dyDescent="0.2">
      <c r="A2" t="s">
        <v>21</v>
      </c>
      <c r="B2">
        <f>AVERAGE(RAW!C7:C30)</f>
        <v>84.291666666666671</v>
      </c>
      <c r="C2">
        <f>AVERAGE(RAW!D7:D30)</f>
        <v>65.75</v>
      </c>
      <c r="D2">
        <f>AVERAGE(RAW!E7:E30)</f>
        <v>17.104166666666668</v>
      </c>
    </row>
    <row r="3" spans="1:4" x14ac:dyDescent="0.2">
      <c r="A3" t="s">
        <v>22</v>
      </c>
      <c r="B3">
        <f>MEDIAN(RAW!C7:C30)</f>
        <v>87.5</v>
      </c>
      <c r="C3">
        <f>MEDIAN(RAW!D7:D30)</f>
        <v>65.5</v>
      </c>
      <c r="D3">
        <f>MEDIAN(RAW!E7:E30)</f>
        <v>11.6</v>
      </c>
    </row>
    <row r="4" spans="1:4" x14ac:dyDescent="0.2">
      <c r="A4" t="s">
        <v>23</v>
      </c>
      <c r="B4">
        <f>_xlfn.STDEV.S(RAW!C7:C30)</f>
        <v>9.5347381654693795</v>
      </c>
      <c r="C4">
        <f>_xlfn.STDEV.S(RAW!D7:D30)</f>
        <v>9.5882627523809365</v>
      </c>
      <c r="D4">
        <f>_xlfn.STDEV.S(RAW!E7:E30)</f>
        <v>12.113502317901171</v>
      </c>
    </row>
    <row r="5" spans="1:4" x14ac:dyDescent="0.2">
      <c r="A5" t="s">
        <v>24</v>
      </c>
      <c r="B5">
        <f>MIN(RAW!C7:C30)</f>
        <v>59</v>
      </c>
      <c r="C5">
        <f>MIN(RAW!D7:D30)</f>
        <v>45</v>
      </c>
      <c r="D5">
        <f>MIN(RAW!E7:E30)</f>
        <v>7</v>
      </c>
    </row>
    <row r="6" spans="1:4" x14ac:dyDescent="0.2">
      <c r="A6" t="s">
        <v>25</v>
      </c>
      <c r="B6">
        <f>MAX(RAW!C7:C30)</f>
        <v>95</v>
      </c>
      <c r="C6">
        <f>MAX(RAW!D7:D30)</f>
        <v>82</v>
      </c>
      <c r="D6">
        <f>MAX(RAW!E7:E30)</f>
        <v>46</v>
      </c>
    </row>
    <row r="7" spans="1:4" x14ac:dyDescent="0.2">
      <c r="A7" t="s">
        <v>26</v>
      </c>
      <c r="B7">
        <f>MAX(RAW!C7:C30) - MIN(RAW!C7:C30)</f>
        <v>36</v>
      </c>
      <c r="C7">
        <f>MAX(RAW!D7:D30) - MIN(RAW!D7:D30)</f>
        <v>37</v>
      </c>
      <c r="D7">
        <f>MAX(RAW!E7:E30) - MIN(RAW!E7:E30)</f>
        <v>39</v>
      </c>
    </row>
    <row r="8" spans="1:4" x14ac:dyDescent="0.2">
      <c r="A8" t="s">
        <v>27</v>
      </c>
      <c r="B8">
        <f>COUNT(RAW!C7:C30)</f>
        <v>24</v>
      </c>
      <c r="C8">
        <f>COUNT(RAW!D7:D30)</f>
        <v>24</v>
      </c>
      <c r="D8">
        <f>COUNT(RAW!E7:E30)</f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EBAB-98BA-D045-813B-DCB1B684A1D0}">
  <dimension ref="E20:L20"/>
  <sheetViews>
    <sheetView tabSelected="1" topLeftCell="A3" workbookViewId="0">
      <selection activeCell="L20" sqref="L20"/>
    </sheetView>
  </sheetViews>
  <sheetFormatPr baseColWidth="10" defaultRowHeight="16" x14ac:dyDescent="0.2"/>
  <sheetData>
    <row r="20" spans="5:12" x14ac:dyDescent="0.2">
      <c r="E20">
        <f>CORREL(RAW!C7:C30, RAW!D7:D30)</f>
        <v>0.9129944598062949</v>
      </c>
      <c r="L20">
        <f>CORREL(RAW!C7:C30, RAW!E7:E30)</f>
        <v>-0.65881543959002875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6680-BA29-0943-A278-96D13491226A}">
  <dimension ref="A1:D5"/>
  <sheetViews>
    <sheetView workbookViewId="0">
      <selection activeCell="D5" sqref="D5"/>
    </sheetView>
  </sheetViews>
  <sheetFormatPr baseColWidth="10" defaultRowHeight="16" x14ac:dyDescent="0.2"/>
  <cols>
    <col min="2" max="2" width="16.33203125" bestFit="1" customWidth="1"/>
    <col min="3" max="3" width="14.83203125" bestFit="1" customWidth="1"/>
    <col min="4" max="4" width="15.1640625" bestFit="1" customWidth="1"/>
  </cols>
  <sheetData>
    <row r="1" spans="1:4" x14ac:dyDescent="0.2">
      <c r="A1" s="10" t="s">
        <v>1</v>
      </c>
      <c r="B1" s="10" t="s">
        <v>28</v>
      </c>
      <c r="C1" s="10" t="s">
        <v>29</v>
      </c>
      <c r="D1" s="10" t="s">
        <v>30</v>
      </c>
    </row>
    <row r="2" spans="1:4" x14ac:dyDescent="0.2">
      <c r="A2" t="s">
        <v>6</v>
      </c>
      <c r="B2">
        <f>AVERAGEIF(RAW!A:A,"USA",RAW!C:C)</f>
        <v>92</v>
      </c>
      <c r="C2">
        <f>AVERAGEIF(RAW!A:A,"USA",RAW!D:D)</f>
        <v>76.166666666666671</v>
      </c>
      <c r="D2">
        <f>AVERAGEIF(RAW!A:A,"USA",RAW!E:E)</f>
        <v>12.5</v>
      </c>
    </row>
    <row r="3" spans="1:4" x14ac:dyDescent="0.2">
      <c r="A3" t="s">
        <v>8</v>
      </c>
      <c r="B3">
        <f>AVERAGEIF(RAW!A:A,"Germany",RAW!C:C)</f>
        <v>90.166666666666671</v>
      </c>
      <c r="C3">
        <f>AVERAGEIF(RAW!A:A,"Germany",RAW!D:D)</f>
        <v>70.666666666666671</v>
      </c>
      <c r="D3">
        <f>AVERAGEIF(RAW!A:A,"Germany",RAW!E:E)</f>
        <v>9.3333333333333339</v>
      </c>
    </row>
    <row r="4" spans="1:4" x14ac:dyDescent="0.2">
      <c r="A4" t="s">
        <v>10</v>
      </c>
      <c r="B4">
        <f>AVERAGEIF(RAW!A:A,"Russia",RAW!C:C)</f>
        <v>84.666666666666671</v>
      </c>
      <c r="C4">
        <f>AVERAGEIF(RAW!A:A,"Russia",RAW!D:D)</f>
        <v>60.666666666666664</v>
      </c>
      <c r="D4">
        <f>AVERAGEIF(RAW!A:A,"Russia",RAW!E:E)</f>
        <v>10.25</v>
      </c>
    </row>
    <row r="5" spans="1:4" x14ac:dyDescent="0.2">
      <c r="A5" t="s">
        <v>9</v>
      </c>
      <c r="B5">
        <f>AVERAGEIF(RAW!A:A,"China",RAW!C:C)</f>
        <v>70.333333333333329</v>
      </c>
      <c r="C5">
        <f>AVERAGEIF(RAW!A:A,"China",RAW!D:D)</f>
        <v>55.5</v>
      </c>
      <c r="D5">
        <f>AVERAGEIF(RAW!A:A,"China",RAW!E:E)</f>
        <v>36.333333333333336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4896E-6F49-6541-AEE6-F16C43D94FB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HISTOGRAM</vt:lpstr>
      <vt:lpstr>ARMEASURES</vt:lpstr>
      <vt:lpstr>SCATTER</vt:lpstr>
      <vt:lpstr>PIVOT TABLE</vt:lpstr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Khadka</dc:creator>
  <cp:lastModifiedBy>Khushi Khadka</cp:lastModifiedBy>
  <dcterms:created xsi:type="dcterms:W3CDTF">2025-11-07T22:38:53Z</dcterms:created>
  <dcterms:modified xsi:type="dcterms:W3CDTF">2025-12-06T04:56:07Z</dcterms:modified>
</cp:coreProperties>
</file>